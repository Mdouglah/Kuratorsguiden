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rering" sheetId="1" state="visible" r:id="rId3"/>
    <sheet name="Dashboard" sheetId="2" state="visible" r:id="rId4"/>
    <sheet name="Utvärdering" sheetId="3" state="visible" r:id="rId5"/>
    <sheet name="Instruktion" sheetId="4" state="visible" r:id="rId6"/>
  </sheets>
  <definedNames>
    <definedName function="false" hidden="true" localSheetId="0" name="_xlnm._FilterDatabase" vbProcedure="false">Registrering!$A$1:$S$201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<sst xmlns="http://schemas.openxmlformats.org/spreadsheetml/2006/main" count="72" uniqueCount="60">
  <si>
    <t xml:space="preserve">Löpnummer</t>
  </si>
  <si>
    <t xml:space="preserve">Klass</t>
  </si>
  <si>
    <t xml:space="preserve">Datum</t>
  </si>
  <si>
    <t xml:space="preserve">Skoltrivsel</t>
  </si>
  <si>
    <t xml:space="preserve">Trygghet i skolan</t>
  </si>
  <si>
    <t xml:space="preserve">Närvaro/skolanknytning</t>
  </si>
  <si>
    <t xml:space="preserve">Familj/relationer hemma</t>
  </si>
  <si>
    <t xml:space="preserve">Kamratrelationer/social situation</t>
  </si>
  <si>
    <t xml:space="preserve">Psykiskt mående</t>
  </si>
  <si>
    <t xml:space="preserve">Stress/oro</t>
  </si>
  <si>
    <t xml:space="preserve">Sömn</t>
  </si>
  <si>
    <t xml:space="preserve">Fritid/meningsfull aktivitet</t>
  </si>
  <si>
    <t xml:space="preserve">Tillgång till trygg vuxen/stöd</t>
  </si>
  <si>
    <t xml:space="preserve">Oro inför högstadiet</t>
  </si>
  <si>
    <t xml:space="preserve">Skyddsfaktor(er)</t>
  </si>
  <si>
    <t xml:space="preserve">Uppmärksamhetsområde(n)</t>
  </si>
  <si>
    <t xml:space="preserve">Uppföljning</t>
  </si>
  <si>
    <t xml:space="preserve">Uppföljningstyp</t>
  </si>
  <si>
    <t xml:space="preserve">Kort kommentar</t>
  </si>
  <si>
    <t xml:space="preserve">Trivselsamtal ÅK 6 – Pilotdashboard</t>
  </si>
  <si>
    <t xml:space="preserve">Översikt</t>
  </si>
  <si>
    <t xml:space="preserve">Antal registrerade samtal</t>
  </si>
  <si>
    <t xml:space="preserve">Antal med uppföljning</t>
  </si>
  <si>
    <t xml:space="preserve">Andel med uppföljning</t>
  </si>
  <si>
    <t xml:space="preserve">Andel med någon oro inför högstadiet</t>
  </si>
  <si>
    <t xml:space="preserve">Område</t>
  </si>
  <si>
    <t xml:space="preserve">Grön</t>
  </si>
  <si>
    <t xml:space="preserve">Gul</t>
  </si>
  <si>
    <t xml:space="preserve">Röd</t>
  </si>
  <si>
    <t xml:space="preserve">Ej registrerat</t>
  </si>
  <si>
    <t xml:space="preserve">Pilotens genomförande</t>
  </si>
  <si>
    <t xml:space="preserve">Antal elever i målgruppen</t>
  </si>
  <si>
    <t xml:space="preserve">Genomförda samtal</t>
  </si>
  <si>
    <t xml:space="preserve">Genomförandegrad</t>
  </si>
  <si>
    <t xml:space="preserve">Fyll i målgruppen manuellt i B25.</t>
  </si>
  <si>
    <t xml:space="preserve">Ett samtal räknas som registrerat när datum är ifyllt i Registrering.</t>
  </si>
  <si>
    <t xml:space="preserve">Utvärdering av pilotprojektet</t>
  </si>
  <si>
    <t xml:space="preserve">1. Hur många elever genomförde samtal?</t>
  </si>
  <si>
    <t xml:space="preserve">2. Vilka områden återkom oftast?</t>
  </si>
  <si>
    <t xml:space="preserve">3. Hur många elever behövde uppföljning?</t>
  </si>
  <si>
    <t xml:space="preserve">4. Vilka typer av insatser behövdes?</t>
  </si>
  <si>
    <t xml:space="preserve">5. Vilka behov upptäcktes som inte varit kända tidigare?</t>
  </si>
  <si>
    <t xml:space="preserve">6. Vilka skyddsfaktorer var vanligast?</t>
  </si>
  <si>
    <t xml:space="preserve">7. Hur upplevde eleverna samtalet?</t>
  </si>
  <si>
    <t xml:space="preserve">8. Vad fungerade bra?</t>
  </si>
  <si>
    <t xml:space="preserve">9. Vad behöver ändras?</t>
  </si>
  <si>
    <t xml:space="preserve">10. Bör samtalen fortsätta i ÅK 6?</t>
  </si>
  <si>
    <t xml:space="preserve">11. Bör modellen prövas även i ÅK 3?</t>
  </si>
  <si>
    <t xml:space="preserve">Instruktion – Trivselsamtal ÅK 6 pilot</t>
  </si>
  <si>
    <t xml:space="preserve">Använd löpnummer i statistikfilen, inte namn eller personnummer.</t>
  </si>
  <si>
    <t xml:space="preserve">Bedömning</t>
  </si>
  <si>
    <t xml:space="preserve">Bedöm varje område separat. Grön/gul/röd är ett arbetsstöd – inte en diagnos eller automatisk riskklassificering.</t>
  </si>
  <si>
    <t xml:space="preserve">Synkning</t>
  </si>
  <si>
    <t xml:space="preserve">Alla bedömningsområden i Excel motsvarar frågor i samtalsunderlaget och dokumentationsbladet.</t>
  </si>
  <si>
    <t xml:space="preserve">Skyddsfaktorer</t>
  </si>
  <si>
    <t xml:space="preserve">Registrera kort vilka resurser som framkom, exempelvis trygg vuxen, vänner, fritid eller fungerande strategier.</t>
  </si>
  <si>
    <t xml:space="preserve">Sekretess</t>
  </si>
  <si>
    <t xml:space="preserve">Dashboard och rapportering ska användas på gruppnivå och med hänsyn till sekretess och små grupper.</t>
  </si>
  <si>
    <t xml:space="preserve">Pilot</t>
  </si>
  <si>
    <t xml:space="preserve">Fyll i målgruppen på Dashboard och registrera samtalen löpande. Utvärdera helheten tillsammans med EHT.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</si>
</sst>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20"/>
      <color rgb="FF1F4E78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1F4E78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4CCCC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Bedömning per område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Dashboard!B10</c:f>
              <c:strCache>
                <c:ptCount val="1"/>
                <c:pt idx="0">
                  <c:v>Grön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Dashboard!$A$11:$A$21</c:f>
              <c:strCache>
                <c:ptCount val="11"/>
                <c:pt idx="0">
                  <c:v>Skoltrivsel</c:v>
                </c:pt>
                <c:pt idx="1">
                  <c:v>Trygghet i skolan</c:v>
                </c:pt>
                <c:pt idx="2">
                  <c:v>Närvaro/skolanknytning</c:v>
                </c:pt>
                <c:pt idx="3">
                  <c:v>Familj/relationer hemma</c:v>
                </c:pt>
                <c:pt idx="4">
                  <c:v>Kamratrelationer/social situation</c:v>
                </c:pt>
                <c:pt idx="5">
                  <c:v>Psykiskt mående</c:v>
                </c:pt>
                <c:pt idx="6">
                  <c:v>Stress/oro</c:v>
                </c:pt>
                <c:pt idx="7">
                  <c:v>Sömn</c:v>
                </c:pt>
                <c:pt idx="8">
                  <c:v>Fritid/meningsfull aktivitet</c:v>
                </c:pt>
                <c:pt idx="9">
                  <c:v>Tillgång till trygg vuxen/stöd</c:v>
                </c:pt>
                <c:pt idx="10">
                  <c:v>Oro inför högstadiet</c:v>
                </c:pt>
              </c:strCache>
            </c:strRef>
          </c:cat>
          <c:val>
            <c:numRef>
              <c:f>Dashboard!$B$11:$B$21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Dashboard!C10</c:f>
              <c:strCache>
                <c:ptCount val="1"/>
                <c:pt idx="0">
                  <c:v>Gul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Dashboard!$A$11:$A$21</c:f>
              <c:strCache>
                <c:ptCount val="11"/>
                <c:pt idx="0">
                  <c:v>Skoltrivsel</c:v>
                </c:pt>
                <c:pt idx="1">
                  <c:v>Trygghet i skolan</c:v>
                </c:pt>
                <c:pt idx="2">
                  <c:v>Närvaro/skolanknytning</c:v>
                </c:pt>
                <c:pt idx="3">
                  <c:v>Familj/relationer hemma</c:v>
                </c:pt>
                <c:pt idx="4">
                  <c:v>Kamratrelationer/social situation</c:v>
                </c:pt>
                <c:pt idx="5">
                  <c:v>Psykiskt mående</c:v>
                </c:pt>
                <c:pt idx="6">
                  <c:v>Stress/oro</c:v>
                </c:pt>
                <c:pt idx="7">
                  <c:v>Sömn</c:v>
                </c:pt>
                <c:pt idx="8">
                  <c:v>Fritid/meningsfull aktivitet</c:v>
                </c:pt>
                <c:pt idx="9">
                  <c:v>Tillgång till trygg vuxen/stöd</c:v>
                </c:pt>
                <c:pt idx="10">
                  <c:v>Oro inför högstadiet</c:v>
                </c:pt>
              </c:strCache>
            </c:strRef>
          </c:cat>
          <c:val>
            <c:numRef>
              <c:f>Dashboard!$C$11:$C$21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Dashboard!D10</c:f>
              <c:strCache>
                <c:ptCount val="1"/>
                <c:pt idx="0">
                  <c:v>Röd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Dashboard!$A$11:$A$21</c:f>
              <c:strCache>
                <c:ptCount val="11"/>
                <c:pt idx="0">
                  <c:v>Skoltrivsel</c:v>
                </c:pt>
                <c:pt idx="1">
                  <c:v>Trygghet i skolan</c:v>
                </c:pt>
                <c:pt idx="2">
                  <c:v>Närvaro/skolanknytning</c:v>
                </c:pt>
                <c:pt idx="3">
                  <c:v>Familj/relationer hemma</c:v>
                </c:pt>
                <c:pt idx="4">
                  <c:v>Kamratrelationer/social situation</c:v>
                </c:pt>
                <c:pt idx="5">
                  <c:v>Psykiskt mående</c:v>
                </c:pt>
                <c:pt idx="6">
                  <c:v>Stress/oro</c:v>
                </c:pt>
                <c:pt idx="7">
                  <c:v>Sömn</c:v>
                </c:pt>
                <c:pt idx="8">
                  <c:v>Fritid/meningsfull aktivitet</c:v>
                </c:pt>
                <c:pt idx="9">
                  <c:v>Tillgång till trygg vuxen/stöd</c:v>
                </c:pt>
                <c:pt idx="10">
                  <c:v>Oro inför högstadiet</c:v>
                </c:pt>
              </c:strCache>
            </c:strRef>
          </c:cat>
          <c:val>
            <c:numRef>
              <c:f>Dashboard!$D$11:$D$21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</c:ser>
        <c:gapWidth val="150"/>
        <c:overlap val="0"/>
        <c:axId val="52097987"/>
        <c:axId val="64773510"/>
      </c:barChart>
      <c:catAx>
        <c:axId val="5209798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773510"/>
        <c:crosses val="autoZero"/>
        <c:auto val="1"/>
        <c:lblAlgn val="ctr"/>
        <c:lblOffset val="100"/>
        <c:noMultiLvlLbl val="0"/>
      </c:catAx>
      <c:valAx>
        <c:axId val="6477351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Antal elever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0979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70200</xdr:rowOff>
    </xdr:from>
    <xdr:to>
      <xdr:col>15</xdr:col>
      <xdr:colOff>255240</xdr:colOff>
      <xdr:row>18</xdr:row>
      <xdr:rowOff>41040</xdr:rowOff>
    </xdr:to>
    <xdr:graphicFrame>
      <xdr:nvGraphicFramePr>
        <xdr:cNvPr id="0" name="Chart 1"/>
        <xdr:cNvGraphicFramePr/>
      </xdr:nvGraphicFramePr>
      <xdr:xfrm>
        <a:off x="6158880" y="375120"/>
        <a:ext cx="5758920" cy="3237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13"/>
    <col collapsed="false" customWidth="true" hidden="false" outlineLevel="0" max="5" min="4" style="1" width="18"/>
    <col collapsed="false" customWidth="true" hidden="false" outlineLevel="0" max="8" min="6" style="1" width="22"/>
    <col collapsed="false" customWidth="true" hidden="false" outlineLevel="0" max="9" min="9" style="1" width="20"/>
    <col collapsed="false" customWidth="true" hidden="false" outlineLevel="0" max="10" min="10" style="1" width="16"/>
    <col collapsed="false" customWidth="true" hidden="false" outlineLevel="0" max="11" min="11" style="1" width="14"/>
    <col collapsed="false" customWidth="true" hidden="false" outlineLevel="0" max="14" min="12" style="1" width="22"/>
    <col collapsed="false" customWidth="true" hidden="false" outlineLevel="0" max="16" min="15" style="1" width="30"/>
    <col collapsed="false" customWidth="true" hidden="false" outlineLevel="0" max="17" min="17" style="1" width="15"/>
    <col collapsed="false" customWidth="true" hidden="false" outlineLevel="0" max="18" min="18" style="1" width="24"/>
    <col collapsed="false" customWidth="true" hidden="false" outlineLevel="0" max="19" min="19" style="1" width="40"/>
  </cols>
  <sheetData>
    <row r="1" customFormat="false" ht="42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Format="false" ht="15" hidden="false" customHeight="true" outlineLevel="0" collapsed="false">
      <c r="A2" s="3" t="n">
        <v>1</v>
      </c>
      <c r="B2" s="3"/>
      <c r="C2" s="4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true" outlineLevel="0" collapsed="false">
      <c r="A3" s="3" t="n">
        <v>2</v>
      </c>
      <c r="B3" s="3"/>
      <c r="C3" s="4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5" hidden="false" customHeight="true" outlineLevel="0" collapsed="false">
      <c r="A4" s="3" t="n">
        <v>3</v>
      </c>
      <c r="B4" s="3"/>
      <c r="C4" s="4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true" outlineLevel="0" collapsed="false">
      <c r="A5" s="3" t="n">
        <v>4</v>
      </c>
      <c r="B5" s="3"/>
      <c r="C5" s="4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true" outlineLevel="0" collapsed="false">
      <c r="A6" s="3" t="n">
        <v>5</v>
      </c>
      <c r="B6" s="3"/>
      <c r="C6" s="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" hidden="false" customHeight="true" outlineLevel="0" collapsed="false">
      <c r="A7" s="3" t="n">
        <v>6</v>
      </c>
      <c r="B7" s="3"/>
      <c r="C7" s="4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true" outlineLevel="0" collapsed="false">
      <c r="A8" s="3" t="n">
        <v>7</v>
      </c>
      <c r="B8" s="3"/>
      <c r="C8" s="4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5" hidden="false" customHeight="true" outlineLevel="0" collapsed="false">
      <c r="A9" s="3" t="n">
        <v>8</v>
      </c>
      <c r="B9" s="3"/>
      <c r="C9" s="4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true" outlineLevel="0" collapsed="false">
      <c r="A10" s="3" t="n">
        <v>9</v>
      </c>
      <c r="B10" s="3"/>
      <c r="C10" s="4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true" outlineLevel="0" collapsed="false">
      <c r="A11" s="3" t="n">
        <v>10</v>
      </c>
      <c r="B11" s="3"/>
      <c r="C11" s="4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true" outlineLevel="0" collapsed="false">
      <c r="A12" s="3" t="n">
        <v>11</v>
      </c>
      <c r="B12" s="3"/>
      <c r="C12" s="4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true" outlineLevel="0" collapsed="false">
      <c r="A13" s="3" t="n">
        <v>12</v>
      </c>
      <c r="B13" s="3"/>
      <c r="C13" s="4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" hidden="false" customHeight="true" outlineLevel="0" collapsed="false">
      <c r="A14" s="3" t="n">
        <v>13</v>
      </c>
      <c r="B14" s="3"/>
      <c r="C14" s="4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" hidden="false" customHeight="true" outlineLevel="0" collapsed="false">
      <c r="A15" s="3" t="n">
        <v>14</v>
      </c>
      <c r="B15" s="3"/>
      <c r="C15" s="4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customFormat="false" ht="15" hidden="false" customHeight="true" outlineLevel="0" collapsed="false">
      <c r="A16" s="3" t="n">
        <v>15</v>
      </c>
      <c r="B16" s="3"/>
      <c r="C16" s="4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" hidden="false" customHeight="true" outlineLevel="0" collapsed="false">
      <c r="A17" s="3" t="n">
        <v>16</v>
      </c>
      <c r="B17" s="3"/>
      <c r="C17" s="4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" hidden="false" customHeight="true" outlineLevel="0" collapsed="false">
      <c r="A18" s="3" t="n">
        <v>17</v>
      </c>
      <c r="B18" s="3"/>
      <c r="C18" s="4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" hidden="false" customHeight="true" outlineLevel="0" collapsed="false">
      <c r="A19" s="3" t="n">
        <v>18</v>
      </c>
      <c r="B19" s="3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5" hidden="false" customHeight="true" outlineLevel="0" collapsed="false">
      <c r="A20" s="3" t="n">
        <v>19</v>
      </c>
      <c r="B20" s="3"/>
      <c r="C20" s="4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15" hidden="false" customHeight="true" outlineLevel="0" collapsed="false">
      <c r="A21" s="3" t="n">
        <v>20</v>
      </c>
      <c r="B21" s="3"/>
      <c r="C21" s="4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customFormat="false" ht="15" hidden="false" customHeight="true" outlineLevel="0" collapsed="false">
      <c r="A22" s="3" t="n">
        <v>21</v>
      </c>
      <c r="B22" s="3"/>
      <c r="C22" s="4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customFormat="false" ht="15" hidden="false" customHeight="true" outlineLevel="0" collapsed="false">
      <c r="A23" s="3" t="n">
        <v>22</v>
      </c>
      <c r="B23" s="3"/>
      <c r="C23" s="4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customFormat="false" ht="15" hidden="false" customHeight="true" outlineLevel="0" collapsed="false">
      <c r="A24" s="3" t="n">
        <v>23</v>
      </c>
      <c r="B24" s="3"/>
      <c r="C24" s="4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customFormat="false" ht="15" hidden="false" customHeight="true" outlineLevel="0" collapsed="false">
      <c r="A25" s="3" t="n">
        <v>24</v>
      </c>
      <c r="B25" s="3"/>
      <c r="C25" s="4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customFormat="false" ht="15" hidden="false" customHeight="true" outlineLevel="0" collapsed="false">
      <c r="A26" s="3" t="n">
        <v>25</v>
      </c>
      <c r="B26" s="3"/>
      <c r="C26" s="4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customFormat="false" ht="15" hidden="false" customHeight="true" outlineLevel="0" collapsed="false">
      <c r="A27" s="3" t="n">
        <v>26</v>
      </c>
      <c r="B27" s="3"/>
      <c r="C27" s="4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customFormat="false" ht="15" hidden="false" customHeight="true" outlineLevel="0" collapsed="false">
      <c r="A28" s="3" t="n">
        <v>27</v>
      </c>
      <c r="B28" s="3"/>
      <c r="C28" s="4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customFormat="false" ht="15" hidden="false" customHeight="true" outlineLevel="0" collapsed="false">
      <c r="A29" s="3" t="n">
        <v>28</v>
      </c>
      <c r="B29" s="3"/>
      <c r="C29" s="4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  <row r="30" customFormat="false" ht="15" hidden="false" customHeight="true" outlineLevel="0" collapsed="false">
      <c r="A30" s="3" t="n">
        <v>29</v>
      </c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customFormat="false" ht="15" hidden="false" customHeight="true" outlineLevel="0" collapsed="false">
      <c r="A31" s="3" t="n">
        <v>30</v>
      </c>
      <c r="B31" s="3"/>
      <c r="C31" s="4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</row>
    <row r="32" customFormat="false" ht="15" hidden="false" customHeight="true" outlineLevel="0" collapsed="false">
      <c r="A32" s="3" t="n">
        <v>31</v>
      </c>
      <c r="B32" s="3"/>
      <c r="C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</row>
    <row r="33" customFormat="false" ht="15" hidden="false" customHeight="true" outlineLevel="0" collapsed="false">
      <c r="A33" s="3" t="n">
        <v>32</v>
      </c>
      <c r="B33" s="3"/>
      <c r="C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customFormat="false" ht="15" hidden="false" customHeight="true" outlineLevel="0" collapsed="false">
      <c r="A34" s="3" t="n">
        <v>33</v>
      </c>
      <c r="B34" s="3"/>
      <c r="C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</row>
    <row r="35" customFormat="false" ht="15" hidden="false" customHeight="true" outlineLevel="0" collapsed="false">
      <c r="A35" s="3" t="n">
        <v>34</v>
      </c>
      <c r="B35" s="3"/>
      <c r="C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customFormat="false" ht="15" hidden="false" customHeight="true" outlineLevel="0" collapsed="false">
      <c r="A36" s="3" t="n">
        <v>35</v>
      </c>
      <c r="B36" s="3"/>
      <c r="C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customFormat="false" ht="15" hidden="false" customHeight="true" outlineLevel="0" collapsed="false">
      <c r="A37" s="3" t="n">
        <v>36</v>
      </c>
      <c r="B37" s="3"/>
      <c r="C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customFormat="false" ht="15" hidden="false" customHeight="true" outlineLevel="0" collapsed="false">
      <c r="A38" s="3" t="n">
        <v>37</v>
      </c>
      <c r="B38" s="3"/>
      <c r="C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customFormat="false" ht="15" hidden="false" customHeight="true" outlineLevel="0" collapsed="false">
      <c r="A39" s="3" t="n">
        <v>38</v>
      </c>
      <c r="B39" s="3"/>
      <c r="C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customFormat="false" ht="15" hidden="false" customHeight="true" outlineLevel="0" collapsed="false">
      <c r="A40" s="3" t="n">
        <v>39</v>
      </c>
      <c r="B40" s="3"/>
      <c r="C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customFormat="false" ht="15" hidden="false" customHeight="true" outlineLevel="0" collapsed="false">
      <c r="A41" s="3" t="n">
        <v>40</v>
      </c>
      <c r="B41" s="3"/>
      <c r="C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  <row r="42" customFormat="false" ht="15" hidden="false" customHeight="true" outlineLevel="0" collapsed="false">
      <c r="A42" s="3" t="n">
        <v>41</v>
      </c>
      <c r="B42" s="3"/>
      <c r="C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</row>
    <row r="43" customFormat="false" ht="15" hidden="false" customHeight="true" outlineLevel="0" collapsed="false">
      <c r="A43" s="3" t="n">
        <v>42</v>
      </c>
      <c r="B43" s="3"/>
      <c r="C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</row>
    <row r="44" customFormat="false" ht="15" hidden="false" customHeight="true" outlineLevel="0" collapsed="false">
      <c r="A44" s="3" t="n">
        <v>43</v>
      </c>
      <c r="B44" s="3"/>
      <c r="C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</row>
    <row r="45" customFormat="false" ht="15" hidden="false" customHeight="true" outlineLevel="0" collapsed="false">
      <c r="A45" s="3" t="n">
        <v>44</v>
      </c>
      <c r="B45" s="3"/>
      <c r="C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</row>
    <row r="46" customFormat="false" ht="15" hidden="false" customHeight="true" outlineLevel="0" collapsed="false">
      <c r="A46" s="3" t="n">
        <v>45</v>
      </c>
      <c r="B46" s="3"/>
      <c r="C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</row>
    <row r="47" customFormat="false" ht="15" hidden="false" customHeight="true" outlineLevel="0" collapsed="false">
      <c r="A47" s="3" t="n">
        <v>46</v>
      </c>
      <c r="B47" s="3"/>
      <c r="C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</row>
    <row r="48" customFormat="false" ht="15" hidden="false" customHeight="true" outlineLevel="0" collapsed="false">
      <c r="A48" s="3" t="n">
        <v>47</v>
      </c>
      <c r="B48" s="3"/>
      <c r="C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</row>
    <row r="49" customFormat="false" ht="15" hidden="false" customHeight="true" outlineLevel="0" collapsed="false">
      <c r="A49" s="3" t="n">
        <v>48</v>
      </c>
      <c r="B49" s="3"/>
      <c r="C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</row>
    <row r="50" customFormat="false" ht="15" hidden="false" customHeight="true" outlineLevel="0" collapsed="false">
      <c r="A50" s="3" t="n">
        <v>49</v>
      </c>
      <c r="B50" s="3"/>
      <c r="C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</row>
    <row r="51" customFormat="false" ht="15" hidden="false" customHeight="true" outlineLevel="0" collapsed="false">
      <c r="A51" s="3" t="n">
        <v>50</v>
      </c>
      <c r="B51" s="3"/>
      <c r="C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</row>
    <row r="52" customFormat="false" ht="15" hidden="false" customHeight="true" outlineLevel="0" collapsed="false">
      <c r="A52" s="3" t="n">
        <v>51</v>
      </c>
      <c r="B52" s="3"/>
      <c r="C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</row>
    <row r="53" customFormat="false" ht="15" hidden="false" customHeight="true" outlineLevel="0" collapsed="false">
      <c r="A53" s="3" t="n">
        <v>52</v>
      </c>
      <c r="B53" s="3"/>
      <c r="C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</row>
    <row r="54" customFormat="false" ht="15" hidden="false" customHeight="true" outlineLevel="0" collapsed="false">
      <c r="A54" s="3" t="n">
        <v>53</v>
      </c>
      <c r="B54" s="3"/>
      <c r="C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customFormat="false" ht="15" hidden="false" customHeight="true" outlineLevel="0" collapsed="false">
      <c r="A55" s="3" t="n">
        <v>54</v>
      </c>
      <c r="B55" s="3"/>
      <c r="C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customFormat="false" ht="15" hidden="false" customHeight="true" outlineLevel="0" collapsed="false">
      <c r="A56" s="3" t="n">
        <v>55</v>
      </c>
      <c r="B56" s="3"/>
      <c r="C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customFormat="false" ht="15" hidden="false" customHeight="true" outlineLevel="0" collapsed="false">
      <c r="A57" s="3" t="n">
        <v>56</v>
      </c>
      <c r="B57" s="3"/>
      <c r="C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customFormat="false" ht="15" hidden="false" customHeight="true" outlineLevel="0" collapsed="false">
      <c r="A58" s="3" t="n">
        <v>57</v>
      </c>
      <c r="B58" s="3"/>
      <c r="C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customFormat="false" ht="15" hidden="false" customHeight="true" outlineLevel="0" collapsed="false">
      <c r="A59" s="3" t="n">
        <v>58</v>
      </c>
      <c r="B59" s="3"/>
      <c r="C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customFormat="false" ht="15" hidden="false" customHeight="true" outlineLevel="0" collapsed="false">
      <c r="A60" s="3" t="n">
        <v>59</v>
      </c>
      <c r="B60" s="3"/>
      <c r="C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customFormat="false" ht="15" hidden="false" customHeight="true" outlineLevel="0" collapsed="false">
      <c r="A61" s="3" t="n">
        <v>60</v>
      </c>
      <c r="B61" s="3"/>
      <c r="C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customFormat="false" ht="15" hidden="false" customHeight="true" outlineLevel="0" collapsed="false">
      <c r="A62" s="3" t="n">
        <v>61</v>
      </c>
      <c r="B62" s="3"/>
      <c r="C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customFormat="false" ht="15" hidden="false" customHeight="true" outlineLevel="0" collapsed="false">
      <c r="A63" s="3" t="n">
        <v>62</v>
      </c>
      <c r="B63" s="3"/>
      <c r="C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customFormat="false" ht="15" hidden="false" customHeight="true" outlineLevel="0" collapsed="false">
      <c r="A64" s="3" t="n">
        <v>63</v>
      </c>
      <c r="B64" s="3"/>
      <c r="C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" hidden="false" customHeight="true" outlineLevel="0" collapsed="false">
      <c r="A65" s="3" t="n">
        <v>64</v>
      </c>
      <c r="B65" s="3"/>
      <c r="C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" hidden="false" customHeight="true" outlineLevel="0" collapsed="false">
      <c r="A66" s="3" t="n">
        <v>65</v>
      </c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customFormat="false" ht="15" hidden="false" customHeight="true" outlineLevel="0" collapsed="false">
      <c r="A67" s="3" t="n">
        <v>66</v>
      </c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customFormat="false" ht="15" hidden="false" customHeight="true" outlineLevel="0" collapsed="false">
      <c r="A68" s="3" t="n">
        <v>67</v>
      </c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customFormat="false" ht="15" hidden="false" customHeight="true" outlineLevel="0" collapsed="false">
      <c r="A69" s="3" t="n">
        <v>68</v>
      </c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customFormat="false" ht="15" hidden="false" customHeight="true" outlineLevel="0" collapsed="false">
      <c r="A70" s="3" t="n">
        <v>69</v>
      </c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customFormat="false" ht="15" hidden="false" customHeight="true" outlineLevel="0" collapsed="false">
      <c r="A71" s="3" t="n">
        <v>70</v>
      </c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customFormat="false" ht="15" hidden="false" customHeight="true" outlineLevel="0" collapsed="false">
      <c r="A72" s="3" t="n">
        <v>71</v>
      </c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" hidden="false" customHeight="true" outlineLevel="0" collapsed="false">
      <c r="A73" s="3" t="n">
        <v>72</v>
      </c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" hidden="false" customHeight="true" outlineLevel="0" collapsed="false">
      <c r="A74" s="3" t="n">
        <v>73</v>
      </c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customFormat="false" ht="15" hidden="false" customHeight="true" outlineLevel="0" collapsed="false">
      <c r="A75" s="3" t="n">
        <v>74</v>
      </c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customFormat="false" ht="15" hidden="false" customHeight="true" outlineLevel="0" collapsed="false">
      <c r="A76" s="3" t="n">
        <v>75</v>
      </c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customFormat="false" ht="15" hidden="false" customHeight="true" outlineLevel="0" collapsed="false">
      <c r="A77" s="3" t="n">
        <v>76</v>
      </c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customFormat="false" ht="15" hidden="false" customHeight="true" outlineLevel="0" collapsed="false">
      <c r="A78" s="3" t="n">
        <v>77</v>
      </c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customFormat="false" ht="15" hidden="false" customHeight="true" outlineLevel="0" collapsed="false">
      <c r="A79" s="3" t="n">
        <v>78</v>
      </c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customFormat="false" ht="15" hidden="false" customHeight="true" outlineLevel="0" collapsed="false">
      <c r="A80" s="3" t="n">
        <v>79</v>
      </c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customFormat="false" ht="15" hidden="false" customHeight="true" outlineLevel="0" collapsed="false">
      <c r="A81" s="3" t="n">
        <v>80</v>
      </c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customFormat="false" ht="15" hidden="false" customHeight="true" outlineLevel="0" collapsed="false">
      <c r="A82" s="3" t="n">
        <v>81</v>
      </c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customFormat="false" ht="15" hidden="false" customHeight="true" outlineLevel="0" collapsed="false">
      <c r="A83" s="3" t="n">
        <v>82</v>
      </c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" hidden="false" customHeight="true" outlineLevel="0" collapsed="false">
      <c r="A84" s="3" t="n">
        <v>83</v>
      </c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customFormat="false" ht="15" hidden="false" customHeight="true" outlineLevel="0" collapsed="false">
      <c r="A85" s="3" t="n">
        <v>84</v>
      </c>
      <c r="B85" s="3"/>
      <c r="C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" hidden="false" customHeight="true" outlineLevel="0" collapsed="false">
      <c r="A86" s="3" t="n">
        <v>85</v>
      </c>
      <c r="B86" s="3"/>
      <c r="C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customFormat="false" ht="15" hidden="false" customHeight="true" outlineLevel="0" collapsed="false">
      <c r="A87" s="3" t="n">
        <v>86</v>
      </c>
      <c r="B87" s="3"/>
      <c r="C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" hidden="false" customHeight="true" outlineLevel="0" collapsed="false">
      <c r="A88" s="3" t="n">
        <v>87</v>
      </c>
      <c r="B88" s="3"/>
      <c r="C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customFormat="false" ht="15" hidden="false" customHeight="true" outlineLevel="0" collapsed="false">
      <c r="A89" s="3" t="n">
        <v>88</v>
      </c>
      <c r="B89" s="3"/>
      <c r="C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" hidden="false" customHeight="true" outlineLevel="0" collapsed="false">
      <c r="A90" s="3" t="n">
        <v>89</v>
      </c>
      <c r="B90" s="3"/>
      <c r="C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" hidden="false" customHeight="true" outlineLevel="0" collapsed="false">
      <c r="A91" s="3" t="n">
        <v>90</v>
      </c>
      <c r="B91" s="3"/>
      <c r="C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" hidden="false" customHeight="true" outlineLevel="0" collapsed="false">
      <c r="A92" s="3" t="n">
        <v>91</v>
      </c>
      <c r="B92" s="3"/>
      <c r="C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" hidden="false" customHeight="true" outlineLevel="0" collapsed="false">
      <c r="A93" s="3" t="n">
        <v>92</v>
      </c>
      <c r="B93" s="3"/>
      <c r="C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customFormat="false" ht="15" hidden="false" customHeight="true" outlineLevel="0" collapsed="false">
      <c r="A94" s="3" t="n">
        <v>93</v>
      </c>
      <c r="B94" s="3"/>
      <c r="C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customFormat="false" ht="15" hidden="false" customHeight="true" outlineLevel="0" collapsed="false">
      <c r="A95" s="3" t="n">
        <v>94</v>
      </c>
      <c r="B95" s="3"/>
      <c r="C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customFormat="false" ht="15" hidden="false" customHeight="true" outlineLevel="0" collapsed="false">
      <c r="A96" s="3" t="n">
        <v>95</v>
      </c>
      <c r="B96" s="3"/>
      <c r="C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</row>
    <row r="97" customFormat="false" ht="15" hidden="false" customHeight="true" outlineLevel="0" collapsed="false">
      <c r="A97" s="3" t="n">
        <v>96</v>
      </c>
      <c r="B97" s="3"/>
      <c r="C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customFormat="false" ht="15" hidden="false" customHeight="true" outlineLevel="0" collapsed="false">
      <c r="A98" s="3" t="n">
        <v>97</v>
      </c>
      <c r="B98" s="3"/>
      <c r="C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customFormat="false" ht="15" hidden="false" customHeight="true" outlineLevel="0" collapsed="false">
      <c r="A99" s="3" t="n">
        <v>98</v>
      </c>
      <c r="B99" s="3"/>
      <c r="C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customFormat="false" ht="15" hidden="false" customHeight="true" outlineLevel="0" collapsed="false">
      <c r="A100" s="3" t="n">
        <v>99</v>
      </c>
      <c r="B100" s="3"/>
      <c r="C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customFormat="false" ht="15" hidden="false" customHeight="true" outlineLevel="0" collapsed="false">
      <c r="A101" s="3" t="n">
        <v>100</v>
      </c>
      <c r="B101" s="3"/>
      <c r="C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customFormat="false" ht="15" hidden="false" customHeight="true" outlineLevel="0" collapsed="false">
      <c r="A102" s="3" t="n">
        <v>101</v>
      </c>
      <c r="B102" s="3"/>
      <c r="C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customFormat="false" ht="15" hidden="false" customHeight="true" outlineLevel="0" collapsed="false">
      <c r="A103" s="3" t="n">
        <v>102</v>
      </c>
      <c r="B103" s="3"/>
      <c r="C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customFormat="false" ht="15" hidden="false" customHeight="true" outlineLevel="0" collapsed="false">
      <c r="A104" s="3" t="n">
        <v>103</v>
      </c>
      <c r="B104" s="3"/>
      <c r="C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</row>
    <row r="105" customFormat="false" ht="15" hidden="false" customHeight="true" outlineLevel="0" collapsed="false">
      <c r="A105" s="3" t="n">
        <v>104</v>
      </c>
      <c r="B105" s="3"/>
      <c r="C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</row>
    <row r="106" customFormat="false" ht="15" hidden="false" customHeight="true" outlineLevel="0" collapsed="false">
      <c r="A106" s="3" t="n">
        <v>105</v>
      </c>
      <c r="B106" s="3"/>
      <c r="C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</row>
    <row r="107" customFormat="false" ht="15" hidden="false" customHeight="true" outlineLevel="0" collapsed="false">
      <c r="A107" s="3" t="n">
        <v>106</v>
      </c>
      <c r="B107" s="3"/>
      <c r="C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</row>
    <row r="108" customFormat="false" ht="15" hidden="false" customHeight="true" outlineLevel="0" collapsed="false">
      <c r="A108" s="3" t="n">
        <v>107</v>
      </c>
      <c r="B108" s="3"/>
      <c r="C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</row>
    <row r="109" customFormat="false" ht="15" hidden="false" customHeight="true" outlineLevel="0" collapsed="false">
      <c r="A109" s="3" t="n">
        <v>108</v>
      </c>
      <c r="B109" s="3"/>
      <c r="C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</row>
    <row r="110" customFormat="false" ht="15" hidden="false" customHeight="true" outlineLevel="0" collapsed="false">
      <c r="A110" s="3" t="n">
        <v>109</v>
      </c>
      <c r="B110" s="3"/>
      <c r="C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</row>
    <row r="111" customFormat="false" ht="15" hidden="false" customHeight="true" outlineLevel="0" collapsed="false">
      <c r="A111" s="3" t="n">
        <v>110</v>
      </c>
      <c r="B111" s="3"/>
      <c r="C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</row>
    <row r="112" customFormat="false" ht="15" hidden="false" customHeight="true" outlineLevel="0" collapsed="false">
      <c r="A112" s="3" t="n">
        <v>111</v>
      </c>
      <c r="B112" s="3"/>
      <c r="C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</row>
    <row r="113" customFormat="false" ht="15" hidden="false" customHeight="true" outlineLevel="0" collapsed="false">
      <c r="A113" s="3" t="n">
        <v>112</v>
      </c>
      <c r="B113" s="3"/>
      <c r="C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</row>
    <row r="114" customFormat="false" ht="15" hidden="false" customHeight="true" outlineLevel="0" collapsed="false">
      <c r="A114" s="3" t="n">
        <v>113</v>
      </c>
      <c r="B114" s="3"/>
      <c r="C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</row>
    <row r="115" customFormat="false" ht="15" hidden="false" customHeight="true" outlineLevel="0" collapsed="false">
      <c r="A115" s="3" t="n">
        <v>114</v>
      </c>
      <c r="B115" s="3"/>
      <c r="C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</row>
    <row r="116" customFormat="false" ht="15" hidden="false" customHeight="true" outlineLevel="0" collapsed="false">
      <c r="A116" s="3" t="n">
        <v>115</v>
      </c>
      <c r="B116" s="3"/>
      <c r="C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</row>
    <row r="117" customFormat="false" ht="15" hidden="false" customHeight="true" outlineLevel="0" collapsed="false">
      <c r="A117" s="3" t="n">
        <v>116</v>
      </c>
      <c r="B117" s="3"/>
      <c r="C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</row>
    <row r="118" customFormat="false" ht="15" hidden="false" customHeight="true" outlineLevel="0" collapsed="false">
      <c r="A118" s="3" t="n">
        <v>117</v>
      </c>
      <c r="B118" s="3"/>
      <c r="C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</row>
    <row r="119" customFormat="false" ht="15" hidden="false" customHeight="true" outlineLevel="0" collapsed="false">
      <c r="A119" s="3" t="n">
        <v>118</v>
      </c>
      <c r="B119" s="3"/>
      <c r="C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</row>
    <row r="120" customFormat="false" ht="15" hidden="false" customHeight="true" outlineLevel="0" collapsed="false">
      <c r="A120" s="3" t="n">
        <v>119</v>
      </c>
      <c r="B120" s="3"/>
      <c r="C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</row>
    <row r="121" customFormat="false" ht="15" hidden="false" customHeight="true" outlineLevel="0" collapsed="false">
      <c r="A121" s="3" t="n">
        <v>120</v>
      </c>
      <c r="B121" s="3"/>
      <c r="C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</row>
    <row r="122" customFormat="false" ht="15" hidden="false" customHeight="true" outlineLevel="0" collapsed="false">
      <c r="A122" s="3" t="n">
        <v>121</v>
      </c>
      <c r="B122" s="3"/>
      <c r="C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</row>
    <row r="123" customFormat="false" ht="15" hidden="false" customHeight="true" outlineLevel="0" collapsed="false">
      <c r="A123" s="3" t="n">
        <v>122</v>
      </c>
      <c r="B123" s="3"/>
      <c r="C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</row>
    <row r="124" customFormat="false" ht="15" hidden="false" customHeight="true" outlineLevel="0" collapsed="false">
      <c r="A124" s="3" t="n">
        <v>123</v>
      </c>
      <c r="B124" s="3"/>
      <c r="C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</row>
    <row r="125" customFormat="false" ht="15" hidden="false" customHeight="true" outlineLevel="0" collapsed="false">
      <c r="A125" s="3" t="n">
        <v>124</v>
      </c>
      <c r="B125" s="3"/>
      <c r="C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</row>
    <row r="126" customFormat="false" ht="15" hidden="false" customHeight="true" outlineLevel="0" collapsed="false">
      <c r="A126" s="3" t="n">
        <v>125</v>
      </c>
      <c r="B126" s="3"/>
      <c r="C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</row>
    <row r="127" customFormat="false" ht="15" hidden="false" customHeight="true" outlineLevel="0" collapsed="false">
      <c r="A127" s="3" t="n">
        <v>126</v>
      </c>
      <c r="B127" s="3"/>
      <c r="C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</row>
    <row r="128" customFormat="false" ht="15" hidden="false" customHeight="true" outlineLevel="0" collapsed="false">
      <c r="A128" s="3" t="n">
        <v>127</v>
      </c>
      <c r="B128" s="3"/>
      <c r="C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</row>
    <row r="129" customFormat="false" ht="15" hidden="false" customHeight="true" outlineLevel="0" collapsed="false">
      <c r="A129" s="3" t="n">
        <v>128</v>
      </c>
      <c r="B129" s="3"/>
      <c r="C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</row>
    <row r="130" customFormat="false" ht="15" hidden="false" customHeight="true" outlineLevel="0" collapsed="false">
      <c r="A130" s="3" t="n">
        <v>129</v>
      </c>
      <c r="B130" s="3"/>
      <c r="C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</row>
    <row r="131" customFormat="false" ht="15" hidden="false" customHeight="true" outlineLevel="0" collapsed="false">
      <c r="A131" s="3" t="n">
        <v>130</v>
      </c>
      <c r="B131" s="3"/>
      <c r="C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</row>
    <row r="132" customFormat="false" ht="15" hidden="false" customHeight="true" outlineLevel="0" collapsed="false">
      <c r="A132" s="3" t="n">
        <v>131</v>
      </c>
      <c r="B132" s="3"/>
      <c r="C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</row>
    <row r="133" customFormat="false" ht="15" hidden="false" customHeight="true" outlineLevel="0" collapsed="false">
      <c r="A133" s="3" t="n">
        <v>132</v>
      </c>
      <c r="B133" s="3"/>
      <c r="C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</row>
    <row r="134" customFormat="false" ht="15" hidden="false" customHeight="true" outlineLevel="0" collapsed="false">
      <c r="A134" s="3" t="n">
        <v>133</v>
      </c>
      <c r="B134" s="3"/>
      <c r="C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</row>
    <row r="135" customFormat="false" ht="15" hidden="false" customHeight="true" outlineLevel="0" collapsed="false">
      <c r="A135" s="3" t="n">
        <v>134</v>
      </c>
      <c r="B135" s="3"/>
      <c r="C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</row>
    <row r="136" customFormat="false" ht="15" hidden="false" customHeight="true" outlineLevel="0" collapsed="false">
      <c r="A136" s="3" t="n">
        <v>135</v>
      </c>
      <c r="B136" s="3"/>
      <c r="C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</row>
    <row r="137" customFormat="false" ht="15" hidden="false" customHeight="true" outlineLevel="0" collapsed="false">
      <c r="A137" s="3" t="n">
        <v>136</v>
      </c>
      <c r="B137" s="3"/>
      <c r="C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</row>
    <row r="138" customFormat="false" ht="15" hidden="false" customHeight="true" outlineLevel="0" collapsed="false">
      <c r="A138" s="3" t="n">
        <v>137</v>
      </c>
      <c r="B138" s="3"/>
      <c r="C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</row>
    <row r="139" customFormat="false" ht="15" hidden="false" customHeight="true" outlineLevel="0" collapsed="false">
      <c r="A139" s="3" t="n">
        <v>138</v>
      </c>
      <c r="B139" s="3"/>
      <c r="C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</row>
    <row r="140" customFormat="false" ht="15" hidden="false" customHeight="true" outlineLevel="0" collapsed="false">
      <c r="A140" s="3" t="n">
        <v>139</v>
      </c>
      <c r="B140" s="3"/>
      <c r="C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</row>
    <row r="141" customFormat="false" ht="15" hidden="false" customHeight="true" outlineLevel="0" collapsed="false">
      <c r="A141" s="3" t="n">
        <v>140</v>
      </c>
      <c r="B141" s="3"/>
      <c r="C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</row>
    <row r="142" customFormat="false" ht="15" hidden="false" customHeight="true" outlineLevel="0" collapsed="false">
      <c r="A142" s="3" t="n">
        <v>141</v>
      </c>
      <c r="B142" s="3"/>
      <c r="C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</row>
    <row r="143" customFormat="false" ht="15" hidden="false" customHeight="true" outlineLevel="0" collapsed="false">
      <c r="A143" s="3" t="n">
        <v>142</v>
      </c>
      <c r="B143" s="3"/>
      <c r="C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</row>
    <row r="144" customFormat="false" ht="15" hidden="false" customHeight="true" outlineLevel="0" collapsed="false">
      <c r="A144" s="3" t="n">
        <v>143</v>
      </c>
      <c r="B144" s="3"/>
      <c r="C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</row>
    <row r="145" customFormat="false" ht="15" hidden="false" customHeight="true" outlineLevel="0" collapsed="false">
      <c r="A145" s="3" t="n">
        <v>144</v>
      </c>
      <c r="B145" s="3"/>
      <c r="C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</row>
    <row r="146" customFormat="false" ht="15" hidden="false" customHeight="true" outlineLevel="0" collapsed="false">
      <c r="A146" s="3" t="n">
        <v>145</v>
      </c>
      <c r="B146" s="3"/>
      <c r="C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</row>
    <row r="147" customFormat="false" ht="15" hidden="false" customHeight="true" outlineLevel="0" collapsed="false">
      <c r="A147" s="3" t="n">
        <v>146</v>
      </c>
      <c r="B147" s="3"/>
      <c r="C147" s="4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</row>
    <row r="148" customFormat="false" ht="15" hidden="false" customHeight="true" outlineLevel="0" collapsed="false">
      <c r="A148" s="3" t="n">
        <v>147</v>
      </c>
      <c r="B148" s="3"/>
      <c r="C148" s="4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</row>
    <row r="149" customFormat="false" ht="15" hidden="false" customHeight="true" outlineLevel="0" collapsed="false">
      <c r="A149" s="3" t="n">
        <v>148</v>
      </c>
      <c r="B149" s="3"/>
      <c r="C149" s="4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</row>
    <row r="150" customFormat="false" ht="15" hidden="false" customHeight="true" outlineLevel="0" collapsed="false">
      <c r="A150" s="3" t="n">
        <v>149</v>
      </c>
      <c r="B150" s="3"/>
      <c r="C150" s="4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</row>
    <row r="151" customFormat="false" ht="15" hidden="false" customHeight="true" outlineLevel="0" collapsed="false">
      <c r="A151" s="3" t="n">
        <v>150</v>
      </c>
      <c r="B151" s="3"/>
      <c r="C151" s="4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</row>
    <row r="152" customFormat="false" ht="15" hidden="false" customHeight="true" outlineLevel="0" collapsed="false">
      <c r="A152" s="3" t="n">
        <v>151</v>
      </c>
      <c r="B152" s="3"/>
      <c r="C152" s="4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</row>
    <row r="153" customFormat="false" ht="15" hidden="false" customHeight="true" outlineLevel="0" collapsed="false">
      <c r="A153" s="3" t="n">
        <v>152</v>
      </c>
      <c r="B153" s="3"/>
      <c r="C153" s="4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</row>
    <row r="154" customFormat="false" ht="15" hidden="false" customHeight="true" outlineLevel="0" collapsed="false">
      <c r="A154" s="3" t="n">
        <v>153</v>
      </c>
      <c r="B154" s="3"/>
      <c r="C154" s="4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</row>
    <row r="155" customFormat="false" ht="15" hidden="false" customHeight="true" outlineLevel="0" collapsed="false">
      <c r="A155" s="3" t="n">
        <v>154</v>
      </c>
      <c r="B155" s="3"/>
      <c r="C155" s="4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</row>
    <row r="156" customFormat="false" ht="15" hidden="false" customHeight="true" outlineLevel="0" collapsed="false">
      <c r="A156" s="3" t="n">
        <v>155</v>
      </c>
      <c r="B156" s="3"/>
      <c r="C156" s="4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</row>
    <row r="157" customFormat="false" ht="15" hidden="false" customHeight="true" outlineLevel="0" collapsed="false">
      <c r="A157" s="3" t="n">
        <v>156</v>
      </c>
      <c r="B157" s="3"/>
      <c r="C157" s="4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</row>
    <row r="158" customFormat="false" ht="15" hidden="false" customHeight="true" outlineLevel="0" collapsed="false">
      <c r="A158" s="3" t="n">
        <v>157</v>
      </c>
      <c r="B158" s="3"/>
      <c r="C158" s="4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</row>
    <row r="159" customFormat="false" ht="15" hidden="false" customHeight="true" outlineLevel="0" collapsed="false">
      <c r="A159" s="3" t="n">
        <v>158</v>
      </c>
      <c r="B159" s="3"/>
      <c r="C159" s="4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</row>
    <row r="160" customFormat="false" ht="15" hidden="false" customHeight="true" outlineLevel="0" collapsed="false">
      <c r="A160" s="3" t="n">
        <v>159</v>
      </c>
      <c r="B160" s="3"/>
      <c r="C160" s="4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</row>
    <row r="161" customFormat="false" ht="15" hidden="false" customHeight="true" outlineLevel="0" collapsed="false">
      <c r="A161" s="3" t="n">
        <v>160</v>
      </c>
      <c r="B161" s="3"/>
      <c r="C161" s="4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</row>
    <row r="162" customFormat="false" ht="15" hidden="false" customHeight="true" outlineLevel="0" collapsed="false">
      <c r="A162" s="3" t="n">
        <v>161</v>
      </c>
      <c r="B162" s="3"/>
      <c r="C162" s="4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</row>
    <row r="163" customFormat="false" ht="15" hidden="false" customHeight="true" outlineLevel="0" collapsed="false">
      <c r="A163" s="3" t="n">
        <v>162</v>
      </c>
      <c r="B163" s="3"/>
      <c r="C163" s="4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</row>
    <row r="164" customFormat="false" ht="15" hidden="false" customHeight="true" outlineLevel="0" collapsed="false">
      <c r="A164" s="3" t="n">
        <v>163</v>
      </c>
      <c r="B164" s="3"/>
      <c r="C164" s="4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</row>
    <row r="165" customFormat="false" ht="15" hidden="false" customHeight="true" outlineLevel="0" collapsed="false">
      <c r="A165" s="3" t="n">
        <v>164</v>
      </c>
      <c r="B165" s="3"/>
      <c r="C165" s="4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</row>
    <row r="166" customFormat="false" ht="15" hidden="false" customHeight="true" outlineLevel="0" collapsed="false">
      <c r="A166" s="3" t="n">
        <v>165</v>
      </c>
      <c r="B166" s="3"/>
      <c r="C166" s="4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</row>
    <row r="167" customFormat="false" ht="15" hidden="false" customHeight="true" outlineLevel="0" collapsed="false">
      <c r="A167" s="3" t="n">
        <v>166</v>
      </c>
      <c r="B167" s="3"/>
      <c r="C167" s="4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</row>
    <row r="168" customFormat="false" ht="15" hidden="false" customHeight="true" outlineLevel="0" collapsed="false">
      <c r="A168" s="3" t="n">
        <v>167</v>
      </c>
      <c r="B168" s="3"/>
      <c r="C168" s="4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</row>
    <row r="169" customFormat="false" ht="15" hidden="false" customHeight="true" outlineLevel="0" collapsed="false">
      <c r="A169" s="3" t="n">
        <v>168</v>
      </c>
      <c r="B169" s="3"/>
      <c r="C169" s="4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</row>
    <row r="170" customFormat="false" ht="15" hidden="false" customHeight="true" outlineLevel="0" collapsed="false">
      <c r="A170" s="3" t="n">
        <v>169</v>
      </c>
      <c r="B170" s="3"/>
      <c r="C170" s="4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</row>
    <row r="171" customFormat="false" ht="15" hidden="false" customHeight="true" outlineLevel="0" collapsed="false">
      <c r="A171" s="3" t="n">
        <v>170</v>
      </c>
      <c r="B171" s="3"/>
      <c r="C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</row>
    <row r="172" customFormat="false" ht="15" hidden="false" customHeight="true" outlineLevel="0" collapsed="false">
      <c r="A172" s="3" t="n">
        <v>171</v>
      </c>
      <c r="B172" s="3"/>
      <c r="C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</row>
    <row r="173" customFormat="false" ht="15" hidden="false" customHeight="true" outlineLevel="0" collapsed="false">
      <c r="A173" s="3" t="n">
        <v>172</v>
      </c>
      <c r="B173" s="3"/>
      <c r="C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</row>
    <row r="174" customFormat="false" ht="15" hidden="false" customHeight="true" outlineLevel="0" collapsed="false">
      <c r="A174" s="3" t="n">
        <v>173</v>
      </c>
      <c r="B174" s="3"/>
      <c r="C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</row>
    <row r="175" customFormat="false" ht="15" hidden="false" customHeight="true" outlineLevel="0" collapsed="false">
      <c r="A175" s="3" t="n">
        <v>174</v>
      </c>
      <c r="B175" s="3"/>
      <c r="C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</row>
    <row r="176" customFormat="false" ht="15" hidden="false" customHeight="true" outlineLevel="0" collapsed="false">
      <c r="A176" s="3" t="n">
        <v>175</v>
      </c>
      <c r="B176" s="3"/>
      <c r="C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</row>
    <row r="177" customFormat="false" ht="15" hidden="false" customHeight="true" outlineLevel="0" collapsed="false">
      <c r="A177" s="3" t="n">
        <v>176</v>
      </c>
      <c r="B177" s="3"/>
      <c r="C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</row>
    <row r="178" customFormat="false" ht="15" hidden="false" customHeight="true" outlineLevel="0" collapsed="false">
      <c r="A178" s="3" t="n">
        <v>177</v>
      </c>
      <c r="B178" s="3"/>
      <c r="C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</row>
    <row r="179" customFormat="false" ht="15" hidden="false" customHeight="true" outlineLevel="0" collapsed="false">
      <c r="A179" s="3" t="n">
        <v>178</v>
      </c>
      <c r="B179" s="3"/>
      <c r="C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</row>
    <row r="180" customFormat="false" ht="15" hidden="false" customHeight="true" outlineLevel="0" collapsed="false">
      <c r="A180" s="3" t="n">
        <v>179</v>
      </c>
      <c r="B180" s="3"/>
      <c r="C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</row>
    <row r="181" customFormat="false" ht="15" hidden="false" customHeight="true" outlineLevel="0" collapsed="false">
      <c r="A181" s="3" t="n">
        <v>180</v>
      </c>
      <c r="B181" s="3"/>
      <c r="C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</row>
    <row r="182" customFormat="false" ht="15" hidden="false" customHeight="true" outlineLevel="0" collapsed="false">
      <c r="A182" s="3" t="n">
        <v>181</v>
      </c>
      <c r="B182" s="3"/>
      <c r="C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</row>
    <row r="183" customFormat="false" ht="15" hidden="false" customHeight="true" outlineLevel="0" collapsed="false">
      <c r="A183" s="3" t="n">
        <v>182</v>
      </c>
      <c r="B183" s="3"/>
      <c r="C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</row>
    <row r="184" customFormat="false" ht="15" hidden="false" customHeight="true" outlineLevel="0" collapsed="false">
      <c r="A184" s="3" t="n">
        <v>183</v>
      </c>
      <c r="B184" s="3"/>
      <c r="C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</row>
    <row r="185" customFormat="false" ht="15" hidden="false" customHeight="true" outlineLevel="0" collapsed="false">
      <c r="A185" s="3" t="n">
        <v>184</v>
      </c>
      <c r="B185" s="3"/>
      <c r="C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</row>
    <row r="186" customFormat="false" ht="15" hidden="false" customHeight="true" outlineLevel="0" collapsed="false">
      <c r="A186" s="3" t="n">
        <v>185</v>
      </c>
      <c r="B186" s="3"/>
      <c r="C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</row>
    <row r="187" customFormat="false" ht="15" hidden="false" customHeight="true" outlineLevel="0" collapsed="false">
      <c r="A187" s="3" t="n">
        <v>186</v>
      </c>
      <c r="B187" s="3"/>
      <c r="C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</row>
    <row r="188" customFormat="false" ht="15" hidden="false" customHeight="true" outlineLevel="0" collapsed="false">
      <c r="A188" s="3" t="n">
        <v>187</v>
      </c>
      <c r="B188" s="3"/>
      <c r="C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</row>
    <row r="189" customFormat="false" ht="15" hidden="false" customHeight="true" outlineLevel="0" collapsed="false">
      <c r="A189" s="3" t="n">
        <v>188</v>
      </c>
      <c r="B189" s="3"/>
      <c r="C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</row>
    <row r="190" customFormat="false" ht="15" hidden="false" customHeight="true" outlineLevel="0" collapsed="false">
      <c r="A190" s="3" t="n">
        <v>189</v>
      </c>
      <c r="B190" s="3"/>
      <c r="C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</row>
    <row r="191" customFormat="false" ht="15" hidden="false" customHeight="true" outlineLevel="0" collapsed="false">
      <c r="A191" s="3" t="n">
        <v>190</v>
      </c>
      <c r="B191" s="3"/>
      <c r="C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</row>
    <row r="192" customFormat="false" ht="15" hidden="false" customHeight="true" outlineLevel="0" collapsed="false">
      <c r="A192" s="3" t="n">
        <v>191</v>
      </c>
      <c r="B192" s="3"/>
      <c r="C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</row>
    <row r="193" customFormat="false" ht="15" hidden="false" customHeight="true" outlineLevel="0" collapsed="false">
      <c r="A193" s="3" t="n">
        <v>192</v>
      </c>
      <c r="B193" s="3"/>
      <c r="C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</row>
    <row r="194" customFormat="false" ht="15" hidden="false" customHeight="true" outlineLevel="0" collapsed="false">
      <c r="A194" s="3" t="n">
        <v>193</v>
      </c>
      <c r="B194" s="3"/>
      <c r="C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</row>
    <row r="195" customFormat="false" ht="15" hidden="false" customHeight="true" outlineLevel="0" collapsed="false">
      <c r="A195" s="3" t="n">
        <v>194</v>
      </c>
      <c r="B195" s="3"/>
      <c r="C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</row>
    <row r="196" customFormat="false" ht="15" hidden="false" customHeight="true" outlineLevel="0" collapsed="false">
      <c r="A196" s="3" t="n">
        <v>195</v>
      </c>
      <c r="B196" s="3"/>
      <c r="C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</row>
    <row r="197" customFormat="false" ht="15" hidden="false" customHeight="true" outlineLevel="0" collapsed="false">
      <c r="A197" s="3" t="n">
        <v>196</v>
      </c>
      <c r="B197" s="3"/>
      <c r="C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</row>
    <row r="198" customFormat="false" ht="15" hidden="false" customHeight="true" outlineLevel="0" collapsed="false">
      <c r="A198" s="3" t="n">
        <v>197</v>
      </c>
      <c r="B198" s="3"/>
      <c r="C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</row>
    <row r="199" customFormat="false" ht="15" hidden="false" customHeight="true" outlineLevel="0" collapsed="false">
      <c r="A199" s="3" t="n">
        <v>198</v>
      </c>
      <c r="B199" s="3"/>
      <c r="C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</row>
    <row r="200" customFormat="false" ht="15" hidden="false" customHeight="true" outlineLevel="0" collapsed="false">
      <c r="A200" s="3" t="n">
        <v>199</v>
      </c>
      <c r="B200" s="3"/>
      <c r="C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</row>
    <row r="201" customFormat="false" ht="15" hidden="false" customHeight="true" outlineLevel="0" collapsed="false">
      <c r="A201" s="3" t="n">
        <v>200</v>
      </c>
      <c r="B201" s="3"/>
      <c r="C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</row>
  </sheetData>
  <autoFilter ref="A1:S201"/>
  <conditionalFormatting sqref="D2:D201">
    <cfRule type="cellIs" priority="2" operator="equal" aboveAverage="0" equalAverage="0" bottom="0" percent="0" rank="0" text="" dxfId="4">
      <formula>"Grön"</formula>
    </cfRule>
    <cfRule type="cellIs" priority="3" operator="equal" aboveAverage="0" equalAverage="0" bottom="0" percent="0" rank="0" text="" dxfId="5">
      <formula>"Gul"</formula>
    </cfRule>
    <cfRule type="cellIs" priority="4" operator="equal" aboveAverage="0" equalAverage="0" bottom="0" percent="0" rank="0" text="" dxfId="6">
      <formula>"Röd"</formula>
    </cfRule>
  </conditionalFormatting>
  <conditionalFormatting sqref="E2:E201">
    <cfRule type="cellIs" priority="5" operator="equal" aboveAverage="0" equalAverage="0" bottom="0" percent="0" rank="0" text="" dxfId="4">
      <formula>"Grön"</formula>
    </cfRule>
    <cfRule type="cellIs" priority="6" operator="equal" aboveAverage="0" equalAverage="0" bottom="0" percent="0" rank="0" text="" dxfId="5">
      <formula>"Gul"</formula>
    </cfRule>
    <cfRule type="cellIs" priority="7" operator="equal" aboveAverage="0" equalAverage="0" bottom="0" percent="0" rank="0" text="" dxfId="6">
      <formula>"Röd"</formula>
    </cfRule>
  </conditionalFormatting>
  <conditionalFormatting sqref="F2:F201">
    <cfRule type="cellIs" priority="8" operator="equal" aboveAverage="0" equalAverage="0" bottom="0" percent="0" rank="0" text="" dxfId="4">
      <formula>"Grön"</formula>
    </cfRule>
    <cfRule type="cellIs" priority="9" operator="equal" aboveAverage="0" equalAverage="0" bottom="0" percent="0" rank="0" text="" dxfId="5">
      <formula>"Gul"</formula>
    </cfRule>
    <cfRule type="cellIs" priority="10" operator="equal" aboveAverage="0" equalAverage="0" bottom="0" percent="0" rank="0" text="" dxfId="6">
      <formula>"Röd"</formula>
    </cfRule>
  </conditionalFormatting>
  <conditionalFormatting sqref="G2:G201">
    <cfRule type="cellIs" priority="11" operator="equal" aboveAverage="0" equalAverage="0" bottom="0" percent="0" rank="0" text="" dxfId="4">
      <formula>"Grön"</formula>
    </cfRule>
    <cfRule type="cellIs" priority="12" operator="equal" aboveAverage="0" equalAverage="0" bottom="0" percent="0" rank="0" text="" dxfId="5">
      <formula>"Gul"</formula>
    </cfRule>
    <cfRule type="cellIs" priority="13" operator="equal" aboveAverage="0" equalAverage="0" bottom="0" percent="0" rank="0" text="" dxfId="6">
      <formula>"Röd"</formula>
    </cfRule>
  </conditionalFormatting>
  <conditionalFormatting sqref="H2:H201">
    <cfRule type="cellIs" priority="14" operator="equal" aboveAverage="0" equalAverage="0" bottom="0" percent="0" rank="0" text="" dxfId="4">
      <formula>"Grön"</formula>
    </cfRule>
    <cfRule type="cellIs" priority="15" operator="equal" aboveAverage="0" equalAverage="0" bottom="0" percent="0" rank="0" text="" dxfId="5">
      <formula>"Gul"</formula>
    </cfRule>
    <cfRule type="cellIs" priority="16" operator="equal" aboveAverage="0" equalAverage="0" bottom="0" percent="0" rank="0" text="" dxfId="6">
      <formula>"Röd"</formula>
    </cfRule>
  </conditionalFormatting>
  <conditionalFormatting sqref="I2:I201">
    <cfRule type="cellIs" priority="17" operator="equal" aboveAverage="0" equalAverage="0" bottom="0" percent="0" rank="0" text="" dxfId="4">
      <formula>"Grön"</formula>
    </cfRule>
    <cfRule type="cellIs" priority="18" operator="equal" aboveAverage="0" equalAverage="0" bottom="0" percent="0" rank="0" text="" dxfId="5">
      <formula>"Gul"</formula>
    </cfRule>
    <cfRule type="cellIs" priority="19" operator="equal" aboveAverage="0" equalAverage="0" bottom="0" percent="0" rank="0" text="" dxfId="6">
      <formula>"Röd"</formula>
    </cfRule>
  </conditionalFormatting>
  <conditionalFormatting sqref="J2:J201">
    <cfRule type="cellIs" priority="20" operator="equal" aboveAverage="0" equalAverage="0" bottom="0" percent="0" rank="0" text="" dxfId="4">
      <formula>"Grön"</formula>
    </cfRule>
    <cfRule type="cellIs" priority="21" operator="equal" aboveAverage="0" equalAverage="0" bottom="0" percent="0" rank="0" text="" dxfId="5">
      <formula>"Gul"</formula>
    </cfRule>
    <cfRule type="cellIs" priority="22" operator="equal" aboveAverage="0" equalAverage="0" bottom="0" percent="0" rank="0" text="" dxfId="6">
      <formula>"Röd"</formula>
    </cfRule>
  </conditionalFormatting>
  <conditionalFormatting sqref="K2:K201">
    <cfRule type="cellIs" priority="23" operator="equal" aboveAverage="0" equalAverage="0" bottom="0" percent="0" rank="0" text="" dxfId="4">
      <formula>"Grön"</formula>
    </cfRule>
    <cfRule type="cellIs" priority="24" operator="equal" aboveAverage="0" equalAverage="0" bottom="0" percent="0" rank="0" text="" dxfId="5">
      <formula>"Gul"</formula>
    </cfRule>
    <cfRule type="cellIs" priority="25" operator="equal" aboveAverage="0" equalAverage="0" bottom="0" percent="0" rank="0" text="" dxfId="6">
      <formula>"Röd"</formula>
    </cfRule>
  </conditionalFormatting>
  <conditionalFormatting sqref="L2:L201">
    <cfRule type="cellIs" priority="26" operator="equal" aboveAverage="0" equalAverage="0" bottom="0" percent="0" rank="0" text="" dxfId="4">
      <formula>"Grön"</formula>
    </cfRule>
    <cfRule type="cellIs" priority="27" operator="equal" aboveAverage="0" equalAverage="0" bottom="0" percent="0" rank="0" text="" dxfId="5">
      <formula>"Gul"</formula>
    </cfRule>
    <cfRule type="cellIs" priority="28" operator="equal" aboveAverage="0" equalAverage="0" bottom="0" percent="0" rank="0" text="" dxfId="6">
      <formula>"Röd"</formula>
    </cfRule>
  </conditionalFormatting>
  <conditionalFormatting sqref="M2:M201">
    <cfRule type="cellIs" priority="29" operator="equal" aboveAverage="0" equalAverage="0" bottom="0" percent="0" rank="0" text="" dxfId="4">
      <formula>"Grön"</formula>
    </cfRule>
    <cfRule type="cellIs" priority="30" operator="equal" aboveAverage="0" equalAverage="0" bottom="0" percent="0" rank="0" text="" dxfId="5">
      <formula>"Gul"</formula>
    </cfRule>
    <cfRule type="cellIs" priority="31" operator="equal" aboveAverage="0" equalAverage="0" bottom="0" percent="0" rank="0" text="" dxfId="6">
      <formula>"Röd"</formula>
    </cfRule>
  </conditionalFormatting>
  <conditionalFormatting sqref="N2:N201">
    <cfRule type="cellIs" priority="32" operator="equal" aboveAverage="0" equalAverage="0" bottom="0" percent="0" rank="0" text="" dxfId="4">
      <formula>"Grön"</formula>
    </cfRule>
    <cfRule type="cellIs" priority="33" operator="equal" aboveAverage="0" equalAverage="0" bottom="0" percent="0" rank="0" text="" dxfId="5">
      <formula>"Gul"</formula>
    </cfRule>
    <cfRule type="cellIs" priority="34" operator="equal" aboveAverage="0" equalAverage="0" bottom="0" percent="0" rank="0" text="" dxfId="6">
      <formula>"Röd"</formula>
    </cfRule>
  </conditionalFormatting>
  <dataValidations count="13">
    <dataValidation allowBlank="true" errorStyle="stop" operator="between" showDropDown="false" showErrorMessage="false" showInputMessage="false" sqref="D2:D201" type="list">
      <formula1>"Grön,Gul,Röd"</formula1>
      <formula2>0</formula2>
    </dataValidation>
    <dataValidation allowBlank="true" errorStyle="stop" operator="between" showDropDown="false" showErrorMessage="false" showInputMessage="false" sqref="E2:E201" type="list">
      <formula1>"Grön,Gul,Röd"</formula1>
      <formula2>0</formula2>
    </dataValidation>
    <dataValidation allowBlank="true" errorStyle="stop" operator="between" showDropDown="false" showErrorMessage="false" showInputMessage="false" sqref="F2:F201" type="list">
      <formula1>"Grön,Gul,Röd"</formula1>
      <formula2>0</formula2>
    </dataValidation>
    <dataValidation allowBlank="true" errorStyle="stop" operator="between" showDropDown="false" showErrorMessage="false" showInputMessage="false" sqref="G2:G201" type="list">
      <formula1>"Grön,Gul,Röd"</formula1>
      <formula2>0</formula2>
    </dataValidation>
    <dataValidation allowBlank="true" errorStyle="stop" operator="between" showDropDown="false" showErrorMessage="false" showInputMessage="false" sqref="H2:H201" type="list">
      <formula1>"Grön,Gul,Röd"</formula1>
      <formula2>0</formula2>
    </dataValidation>
    <dataValidation allowBlank="true" errorStyle="stop" operator="between" showDropDown="false" showErrorMessage="false" showInputMessage="false" sqref="I2:I201" type="list">
      <formula1>"Grön,Gul,Röd"</formula1>
      <formula2>0</formula2>
    </dataValidation>
    <dataValidation allowBlank="true" errorStyle="stop" operator="between" showDropDown="false" showErrorMessage="false" showInputMessage="false" sqref="J2:J201" type="list">
      <formula1>"Grön,Gul,Röd"</formula1>
      <formula2>0</formula2>
    </dataValidation>
    <dataValidation allowBlank="true" errorStyle="stop" operator="between" showDropDown="false" showErrorMessage="false" showInputMessage="false" sqref="K2:K201" type="list">
      <formula1>"Grön,Gul,Röd"</formula1>
      <formula2>0</formula2>
    </dataValidation>
    <dataValidation allowBlank="true" errorStyle="stop" operator="between" showDropDown="false" showErrorMessage="false" showInputMessage="false" sqref="L2:L201" type="list">
      <formula1>"Grön,Gul,Röd"</formula1>
      <formula2>0</formula2>
    </dataValidation>
    <dataValidation allowBlank="true" errorStyle="stop" operator="between" showDropDown="false" showErrorMessage="false" showInputMessage="false" sqref="M2:M201" type="list">
      <formula1>"Grön,Gul,Röd"</formula1>
      <formula2>0</formula2>
    </dataValidation>
    <dataValidation allowBlank="true" errorStyle="stop" operator="between" showDropDown="false" showErrorMessage="false" showInputMessage="false" sqref="N2:N201" type="list">
      <formula1>"Grön,Gul,Röd"</formula1>
      <formula2>0</formula2>
    </dataValidation>
    <dataValidation allowBlank="true" errorStyle="stop" operator="between" showDropDown="false" showErrorMessage="false" showInputMessage="false" sqref="Q2:Q201" type="list">
      <formula1>"Nej,Ja"</formula1>
      <formula2>0</formula2>
    </dataValidation>
    <dataValidation allowBlank="true" errorStyle="information" operator="between" showDropDown="false" showErrorMessage="false" showInputMessage="false" sqref="R2:R201" type="list">
      <formula1>"Ingen,Kurator,Mentor/lärare,EHT,Annan elevhälsa,Vårdnadshavare,Annat"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</cols>
  <sheetData>
    <row r="1" customFormat="false" ht="24" hidden="false" customHeight="true" outlineLevel="0" collapsed="false">
      <c r="A1" s="5" t="s">
        <v>19</v>
      </c>
    </row>
    <row r="3" customFormat="false" ht="17.25" hidden="false" customHeight="true" outlineLevel="0" collapsed="false">
      <c r="A3" s="6" t="s">
        <v>20</v>
      </c>
    </row>
    <row r="4" customFormat="false" ht="15" hidden="false" customHeight="true" outlineLevel="0" collapsed="false">
      <c r="A4" s="7" t="s">
        <v>21</v>
      </c>
      <c r="B4" s="1" t="n">
        <f aca="false">COUNTA(Registrering!C2:C201)</f>
        <v>0</v>
      </c>
    </row>
    <row r="5" customFormat="false" ht="15" hidden="false" customHeight="true" outlineLevel="0" collapsed="false">
      <c r="A5" s="7" t="s">
        <v>22</v>
      </c>
      <c r="B5" s="1" t="n">
        <f aca="false">COUNTIF(Registrering!Q2:Q201,"Ja")</f>
        <v>0</v>
      </c>
    </row>
    <row r="6" customFormat="false" ht="15" hidden="false" customHeight="true" outlineLevel="0" collapsed="false">
      <c r="A6" s="7" t="s">
        <v>23</v>
      </c>
      <c r="B6" s="8" t="n">
        <f aca="false">IFERROR(B5/B4,0)</f>
        <v>0</v>
      </c>
    </row>
    <row r="7" customFormat="false" ht="15" hidden="false" customHeight="true" outlineLevel="0" collapsed="false">
      <c r="A7" s="7" t="s">
        <v>24</v>
      </c>
      <c r="B7" s="8" t="n">
        <f aca="false">IFERROR((COUNTIF(Registrering!N2:N201,"Gul")+COUNTIF(Registrering!N2:N201,"Röd"))/COUNTA(Registrering!N2:N201),0)</f>
        <v>0</v>
      </c>
    </row>
    <row r="10" customFormat="false" ht="15" hidden="false" customHeight="true" outlineLevel="0" collapsed="false">
      <c r="A10" s="9" t="s">
        <v>25</v>
      </c>
      <c r="B10" s="9" t="s">
        <v>26</v>
      </c>
      <c r="C10" s="9" t="s">
        <v>27</v>
      </c>
      <c r="D10" s="9" t="s">
        <v>28</v>
      </c>
      <c r="E10" s="9" t="s">
        <v>29</v>
      </c>
    </row>
    <row r="11" customFormat="false" ht="15" hidden="false" customHeight="true" outlineLevel="0" collapsed="false">
      <c r="A11" s="1" t="s">
        <v>3</v>
      </c>
      <c r="B11" s="1" t="n">
        <f aca="false">COUNTIF(Registrering!D2:D201,"Grön")</f>
        <v>0</v>
      </c>
      <c r="C11" s="1" t="n">
        <f aca="false">COUNTIF(Registrering!D2:D201,"Gul")</f>
        <v>0</v>
      </c>
      <c r="D11" s="1" t="n">
        <f aca="false">COUNTIF(Registrering!D2:D201,"Röd")</f>
        <v>0</v>
      </c>
      <c r="E11" s="1" t="n">
        <f aca="false">COUNTIFS(Registrering!C2:C201,"&lt;&gt;",Registrering!D2:D201,"")</f>
        <v>0</v>
      </c>
    </row>
    <row r="12" customFormat="false" ht="15" hidden="false" customHeight="true" outlineLevel="0" collapsed="false">
      <c r="A12" s="1" t="s">
        <v>4</v>
      </c>
      <c r="B12" s="1" t="n">
        <f aca="false">COUNTIF(Registrering!E2:E201,"Grön")</f>
        <v>0</v>
      </c>
      <c r="C12" s="1" t="n">
        <f aca="false">COUNTIF(Registrering!E2:E201,"Gul")</f>
        <v>0</v>
      </c>
      <c r="D12" s="1" t="n">
        <f aca="false">COUNTIF(Registrering!E2:E201,"Röd")</f>
        <v>0</v>
      </c>
      <c r="E12" s="1" t="n">
        <f aca="false">COUNTIFS(Registrering!C2:C201,"&lt;&gt;",Registrering!E2:E201,"")</f>
        <v>0</v>
      </c>
    </row>
    <row r="13" customFormat="false" ht="15" hidden="false" customHeight="true" outlineLevel="0" collapsed="false">
      <c r="A13" s="1" t="s">
        <v>5</v>
      </c>
      <c r="B13" s="1" t="n">
        <f aca="false">COUNTIF(Registrering!F2:F201,"Grön")</f>
        <v>0</v>
      </c>
      <c r="C13" s="1" t="n">
        <f aca="false">COUNTIF(Registrering!F2:F201,"Gul")</f>
        <v>0</v>
      </c>
      <c r="D13" s="1" t="n">
        <f aca="false">COUNTIF(Registrering!F2:F201,"Röd")</f>
        <v>0</v>
      </c>
      <c r="E13" s="1" t="n">
        <f aca="false">COUNTIFS(Registrering!C2:C201,"&lt;&gt;",Registrering!F2:F201,"")</f>
        <v>0</v>
      </c>
    </row>
    <row r="14" customFormat="false" ht="15" hidden="false" customHeight="true" outlineLevel="0" collapsed="false">
      <c r="A14" s="1" t="s">
        <v>6</v>
      </c>
      <c r="B14" s="1" t="n">
        <f aca="false">COUNTIF(Registrering!G2:G201,"Grön")</f>
        <v>0</v>
      </c>
      <c r="C14" s="1" t="n">
        <f aca="false">COUNTIF(Registrering!G2:G201,"Gul")</f>
        <v>0</v>
      </c>
      <c r="D14" s="1" t="n">
        <f aca="false">COUNTIF(Registrering!G2:G201,"Röd")</f>
        <v>0</v>
      </c>
      <c r="E14" s="1" t="n">
        <f aca="false">COUNTIFS(Registrering!C2:C201,"&lt;&gt;",Registrering!G2:G201,"")</f>
        <v>0</v>
      </c>
    </row>
    <row r="15" customFormat="false" ht="15" hidden="false" customHeight="true" outlineLevel="0" collapsed="false">
      <c r="A15" s="1" t="s">
        <v>7</v>
      </c>
      <c r="B15" s="1" t="n">
        <f aca="false">COUNTIF(Registrering!H2:H201,"Grön")</f>
        <v>0</v>
      </c>
      <c r="C15" s="1" t="n">
        <f aca="false">COUNTIF(Registrering!H2:H201,"Gul")</f>
        <v>0</v>
      </c>
      <c r="D15" s="1" t="n">
        <f aca="false">COUNTIF(Registrering!H2:H201,"Röd")</f>
        <v>0</v>
      </c>
      <c r="E15" s="1" t="n">
        <f aca="false">COUNTIFS(Registrering!C2:C201,"&lt;&gt;",Registrering!H2:H201,"")</f>
        <v>0</v>
      </c>
    </row>
    <row r="16" customFormat="false" ht="15" hidden="false" customHeight="true" outlineLevel="0" collapsed="false">
      <c r="A16" s="1" t="s">
        <v>8</v>
      </c>
      <c r="B16" s="1" t="n">
        <f aca="false">COUNTIF(Registrering!I2:I201,"Grön")</f>
        <v>0</v>
      </c>
      <c r="C16" s="1" t="n">
        <f aca="false">COUNTIF(Registrering!I2:I201,"Gul")</f>
        <v>0</v>
      </c>
      <c r="D16" s="1" t="n">
        <f aca="false">COUNTIF(Registrering!I2:I201,"Röd")</f>
        <v>0</v>
      </c>
      <c r="E16" s="1" t="n">
        <f aca="false">COUNTIFS(Registrering!C2:C201,"&lt;&gt;",Registrering!I2:I201,"")</f>
        <v>0</v>
      </c>
    </row>
    <row r="17" customFormat="false" ht="15" hidden="false" customHeight="true" outlineLevel="0" collapsed="false">
      <c r="A17" s="1" t="s">
        <v>9</v>
      </c>
      <c r="B17" s="1" t="n">
        <f aca="false">COUNTIF(Registrering!J2:J201,"Grön")</f>
        <v>0</v>
      </c>
      <c r="C17" s="1" t="n">
        <f aca="false">COUNTIF(Registrering!J2:J201,"Gul")</f>
        <v>0</v>
      </c>
      <c r="D17" s="1" t="n">
        <f aca="false">COUNTIF(Registrering!J2:J201,"Röd")</f>
        <v>0</v>
      </c>
      <c r="E17" s="1" t="n">
        <f aca="false">COUNTIFS(Registrering!C2:C201,"&lt;&gt;",Registrering!J2:J201,"")</f>
        <v>0</v>
      </c>
    </row>
    <row r="18" customFormat="false" ht="15" hidden="false" customHeight="true" outlineLevel="0" collapsed="false">
      <c r="A18" s="1" t="s">
        <v>10</v>
      </c>
      <c r="B18" s="1" t="n">
        <f aca="false">COUNTIF(Registrering!K2:K201,"Grön")</f>
        <v>0</v>
      </c>
      <c r="C18" s="1" t="n">
        <f aca="false">COUNTIF(Registrering!K2:K201,"Gul")</f>
        <v>0</v>
      </c>
      <c r="D18" s="1" t="n">
        <f aca="false">COUNTIF(Registrering!K2:K201,"Röd")</f>
        <v>0</v>
      </c>
      <c r="E18" s="1" t="n">
        <f aca="false">COUNTIFS(Registrering!C2:C201,"&lt;&gt;",Registrering!K2:K201,"")</f>
        <v>0</v>
      </c>
    </row>
    <row r="19" customFormat="false" ht="15" hidden="false" customHeight="true" outlineLevel="0" collapsed="false">
      <c r="A19" s="1" t="s">
        <v>11</v>
      </c>
      <c r="B19" s="1" t="n">
        <f aca="false">COUNTIF(Registrering!L2:L201,"Grön")</f>
        <v>0</v>
      </c>
      <c r="C19" s="1" t="n">
        <f aca="false">COUNTIF(Registrering!L2:L201,"Gul")</f>
        <v>0</v>
      </c>
      <c r="D19" s="1" t="n">
        <f aca="false">COUNTIF(Registrering!L2:L201,"Röd")</f>
        <v>0</v>
      </c>
      <c r="E19" s="1" t="n">
        <f aca="false">COUNTIFS(Registrering!C2:C201,"&lt;&gt;",Registrering!L2:L201,"")</f>
        <v>0</v>
      </c>
    </row>
    <row r="20" customFormat="false" ht="15" hidden="false" customHeight="true" outlineLevel="0" collapsed="false">
      <c r="A20" s="1" t="s">
        <v>12</v>
      </c>
      <c r="B20" s="1" t="n">
        <f aca="false">COUNTIF(Registrering!M2:M201,"Grön")</f>
        <v>0</v>
      </c>
      <c r="C20" s="1" t="n">
        <f aca="false">COUNTIF(Registrering!M2:M201,"Gul")</f>
        <v>0</v>
      </c>
      <c r="D20" s="1" t="n">
        <f aca="false">COUNTIF(Registrering!M2:M201,"Röd")</f>
        <v>0</v>
      </c>
      <c r="E20" s="1" t="n">
        <f aca="false">COUNTIFS(Registrering!C2:C201,"&lt;&gt;",Registrering!M2:M201,"")</f>
        <v>0</v>
      </c>
    </row>
    <row r="21" customFormat="false" ht="15" hidden="false" customHeight="true" outlineLevel="0" collapsed="false">
      <c r="A21" s="1" t="s">
        <v>13</v>
      </c>
      <c r="B21" s="1" t="n">
        <f aca="false">COUNTIF(Registrering!N2:N201,"Grön")</f>
        <v>0</v>
      </c>
      <c r="C21" s="1" t="n">
        <f aca="false">COUNTIF(Registrering!N2:N201,"Gul")</f>
        <v>0</v>
      </c>
      <c r="D21" s="1" t="n">
        <f aca="false">COUNTIF(Registrering!N2:N201,"Röd")</f>
        <v>0</v>
      </c>
      <c r="E21" s="1" t="n">
        <f aca="false">COUNTIFS(Registrering!C2:C201,"&lt;&gt;",Registrering!N2:N201,"")</f>
        <v>0</v>
      </c>
    </row>
    <row r="24" customFormat="false" ht="17.25" hidden="false" customHeight="true" outlineLevel="0" collapsed="false">
      <c r="A24" s="6" t="s">
        <v>30</v>
      </c>
    </row>
    <row r="25" customFormat="false" ht="15" hidden="false" customHeight="true" outlineLevel="0" collapsed="false">
      <c r="A25" s="1" t="s">
        <v>31</v>
      </c>
    </row>
    <row r="26" customFormat="false" ht="15" hidden="false" customHeight="true" outlineLevel="0" collapsed="false">
      <c r="A26" s="1" t="s">
        <v>32</v>
      </c>
      <c r="B26" s="1" t="n">
        <f aca="false">COUNTA(Registrering!C2:C201)</f>
        <v>0</v>
      </c>
    </row>
    <row r="27" customFormat="false" ht="15" hidden="false" customHeight="true" outlineLevel="0" collapsed="false">
      <c r="A27" s="1" t="s">
        <v>33</v>
      </c>
      <c r="B27" s="8" t="n">
        <f aca="false">IFERROR(B26/B25,0)</f>
        <v>0</v>
      </c>
    </row>
    <row r="28" customFormat="false" ht="15" hidden="false" customHeight="true" outlineLevel="0" collapsed="false">
      <c r="A28" s="1" t="s">
        <v>34</v>
      </c>
    </row>
    <row r="29" customFormat="false" ht="15" hidden="false" customHeight="true" outlineLevel="0" collapsed="false">
      <c r="A29" s="1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5"/>
  </cols>
  <sheetData>
    <row r="1" customFormat="false" ht="21.75" hidden="false" customHeight="true" outlineLevel="0" collapsed="false">
      <c r="A1" s="10" t="s">
        <v>36</v>
      </c>
    </row>
    <row r="3" customFormat="false" ht="39.75" hidden="false" customHeight="true" outlineLevel="0" collapsed="false">
      <c r="A3" s="9" t="s">
        <v>37</v>
      </c>
      <c r="B3" s="11"/>
      <c r="C3" s="11"/>
      <c r="D3" s="11"/>
      <c r="E3" s="11"/>
      <c r="F3" s="11"/>
    </row>
    <row r="4" customFormat="false" ht="39.75" hidden="false" customHeight="true" outlineLevel="0" collapsed="false">
      <c r="A4" s="9" t="s">
        <v>38</v>
      </c>
      <c r="B4" s="11"/>
      <c r="C4" s="11"/>
      <c r="D4" s="11"/>
      <c r="E4" s="11"/>
      <c r="F4" s="11"/>
    </row>
    <row r="5" customFormat="false" ht="39.75" hidden="false" customHeight="true" outlineLevel="0" collapsed="false">
      <c r="A5" s="9" t="s">
        <v>39</v>
      </c>
      <c r="B5" s="11"/>
      <c r="C5" s="11"/>
      <c r="D5" s="11"/>
      <c r="E5" s="11"/>
      <c r="F5" s="11"/>
    </row>
    <row r="6" customFormat="false" ht="39.75" hidden="false" customHeight="true" outlineLevel="0" collapsed="false">
      <c r="A6" s="9" t="s">
        <v>40</v>
      </c>
      <c r="B6" s="11"/>
      <c r="C6" s="11"/>
      <c r="D6" s="11"/>
      <c r="E6" s="11"/>
      <c r="F6" s="11"/>
    </row>
    <row r="7" customFormat="false" ht="39.75" hidden="false" customHeight="true" outlineLevel="0" collapsed="false">
      <c r="A7" s="9" t="s">
        <v>41</v>
      </c>
      <c r="B7" s="11"/>
      <c r="C7" s="11"/>
      <c r="D7" s="11"/>
      <c r="E7" s="11"/>
      <c r="F7" s="11"/>
    </row>
    <row r="8" customFormat="false" ht="39.75" hidden="false" customHeight="true" outlineLevel="0" collapsed="false">
      <c r="A8" s="9" t="s">
        <v>42</v>
      </c>
      <c r="B8" s="11"/>
      <c r="C8" s="11"/>
      <c r="D8" s="11"/>
      <c r="E8" s="11"/>
      <c r="F8" s="11"/>
    </row>
    <row r="9" customFormat="false" ht="39.75" hidden="false" customHeight="true" outlineLevel="0" collapsed="false">
      <c r="A9" s="9" t="s">
        <v>43</v>
      </c>
      <c r="B9" s="11"/>
      <c r="C9" s="11"/>
      <c r="D9" s="11"/>
      <c r="E9" s="11"/>
      <c r="F9" s="11"/>
    </row>
    <row r="10" customFormat="false" ht="39.75" hidden="false" customHeight="true" outlineLevel="0" collapsed="false">
      <c r="A10" s="9" t="s">
        <v>44</v>
      </c>
      <c r="B10" s="11"/>
      <c r="C10" s="11"/>
      <c r="D10" s="11"/>
      <c r="E10" s="11"/>
      <c r="F10" s="11"/>
    </row>
    <row r="11" customFormat="false" ht="39.75" hidden="false" customHeight="true" outlineLevel="0" collapsed="false">
      <c r="A11" s="9" t="s">
        <v>45</v>
      </c>
      <c r="B11" s="11"/>
      <c r="C11" s="11"/>
      <c r="D11" s="11"/>
      <c r="E11" s="11"/>
      <c r="F11" s="11"/>
    </row>
    <row r="12" customFormat="false" ht="39.75" hidden="false" customHeight="true" outlineLevel="0" collapsed="false">
      <c r="A12" s="9" t="s">
        <v>46</v>
      </c>
      <c r="B12" s="11"/>
      <c r="C12" s="11"/>
      <c r="D12" s="11"/>
      <c r="E12" s="11"/>
      <c r="F12" s="11"/>
    </row>
    <row r="13" customFormat="false" ht="39.75" hidden="false" customHeight="true" outlineLevel="0" collapsed="false">
      <c r="A13" s="9" t="s">
        <v>47</v>
      </c>
      <c r="B13" s="11"/>
      <c r="C13" s="11"/>
      <c r="D13" s="11"/>
      <c r="E13" s="11"/>
      <c r="F13" s="11"/>
    </row>
  </sheetData>
  <mergeCells count="11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05"/>
  </cols>
  <sheetData>
    <row r="1" customFormat="false" ht="21.75" hidden="false" customHeight="true" outlineLevel="0" collapsed="false">
      <c r="A1" s="10" t="s">
        <v>48</v>
      </c>
    </row>
    <row r="3" customFormat="false" ht="15" hidden="false" customHeight="true" outlineLevel="0" collapsed="false">
      <c r="A3" s="7" t="s">
        <v>0</v>
      </c>
      <c r="B3" s="12" t="s">
        <v>49</v>
      </c>
    </row>
    <row r="4" customFormat="false" ht="15" hidden="false" customHeight="true" outlineLevel="0" collapsed="false">
      <c r="A4" s="7" t="s">
        <v>50</v>
      </c>
      <c r="B4" s="12" t="s">
        <v>51</v>
      </c>
    </row>
    <row r="5" customFormat="false" ht="15" hidden="false" customHeight="true" outlineLevel="0" collapsed="false">
      <c r="A5" s="7" t="s">
        <v>52</v>
      </c>
      <c r="B5" s="12" t="s">
        <v>53</v>
      </c>
    </row>
    <row r="6" customFormat="false" ht="15" hidden="false" customHeight="true" outlineLevel="0" collapsed="false">
      <c r="A6" s="7" t="s">
        <v>54</v>
      </c>
      <c r="B6" s="12" t="s">
        <v>55</v>
      </c>
    </row>
    <row r="7" customFormat="false" ht="15" hidden="false" customHeight="true" outlineLevel="0" collapsed="false">
      <c r="A7" s="7" t="s">
        <v>56</v>
      </c>
      <c r="B7" s="12" t="s">
        <v>57</v>
      </c>
    </row>
    <row r="8" customFormat="false" ht="15" hidden="false" customHeight="true" outlineLevel="0" collapsed="false">
      <c r="A8" s="7" t="s">
        <v>58</v>
      </c>
      <c r="B8" s="12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2026-08-11T09:14:26Z</dcterms:created>
  <dc:creator>openpyxl</dc:creator>
  <dc:description/>
  <dc:language>en-US</dc:language>
  <cp:lastModifiedBy/>
  <dcterms:modified xsi:type="dcterms:W3CDTF">2026-10-23T13:12:32Z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